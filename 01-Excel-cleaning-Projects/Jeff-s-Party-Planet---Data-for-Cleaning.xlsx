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hona\Downloads\"/>
    </mc:Choice>
  </mc:AlternateContent>
  <xr:revisionPtr revIDLastSave="0" documentId="13_ncr:1_{EF88603C-A88F-44E5-8FEA-AB22563686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Pivot Table 3" sheetId="2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H35" i="1" s="1"/>
  <c r="E35" i="1"/>
  <c r="G35" i="1" s="1"/>
  <c r="F34" i="1"/>
  <c r="E34" i="1"/>
  <c r="G34" i="1" s="1"/>
  <c r="F33" i="1"/>
  <c r="E33" i="1"/>
  <c r="G33" i="1" s="1"/>
  <c r="F32" i="1"/>
  <c r="E32" i="1"/>
  <c r="G32" i="1" s="1"/>
  <c r="H32" i="1" s="1"/>
  <c r="F31" i="1"/>
  <c r="E31" i="1"/>
  <c r="G31" i="1" s="1"/>
  <c r="H31" i="1" s="1"/>
  <c r="F30" i="1"/>
  <c r="E30" i="1"/>
  <c r="G30" i="1" s="1"/>
  <c r="H30" i="1" s="1"/>
  <c r="F29" i="1"/>
  <c r="E29" i="1"/>
  <c r="G29" i="1" s="1"/>
  <c r="H29" i="1" s="1"/>
  <c r="F28" i="1"/>
  <c r="E28" i="1"/>
  <c r="G28" i="1" s="1"/>
  <c r="H28" i="1" s="1"/>
  <c r="F27" i="1"/>
  <c r="E27" i="1"/>
  <c r="G27" i="1" s="1"/>
  <c r="H27" i="1" s="1"/>
  <c r="G26" i="1"/>
  <c r="H26" i="1" s="1"/>
  <c r="F26" i="1"/>
  <c r="E26" i="1"/>
  <c r="G25" i="1"/>
  <c r="H25" i="1" s="1"/>
  <c r="F25" i="1"/>
  <c r="E25" i="1"/>
  <c r="F24" i="1"/>
  <c r="E24" i="1"/>
  <c r="G24" i="1" s="1"/>
  <c r="H24" i="1" s="1"/>
  <c r="F23" i="1"/>
  <c r="E23" i="1"/>
  <c r="G23" i="1" s="1"/>
  <c r="H23" i="1" s="1"/>
  <c r="G22" i="1"/>
  <c r="F22" i="1"/>
  <c r="E22" i="1"/>
  <c r="F21" i="1"/>
  <c r="E21" i="1"/>
  <c r="G21" i="1" s="1"/>
  <c r="H21" i="1" s="1"/>
  <c r="F20" i="1"/>
  <c r="E20" i="1"/>
  <c r="G20" i="1" s="1"/>
  <c r="H20" i="1" s="1"/>
  <c r="G19" i="1"/>
  <c r="F19" i="1"/>
  <c r="E19" i="1"/>
  <c r="F18" i="1"/>
  <c r="E18" i="1"/>
  <c r="G18" i="1" s="1"/>
  <c r="H18" i="1" s="1"/>
  <c r="G17" i="1"/>
  <c r="H17" i="1" s="1"/>
  <c r="F17" i="1"/>
  <c r="E17" i="1"/>
  <c r="G16" i="1"/>
  <c r="H16" i="1" s="1"/>
  <c r="F16" i="1"/>
  <c r="E16" i="1"/>
  <c r="F15" i="1"/>
  <c r="E15" i="1"/>
  <c r="G15" i="1" s="1"/>
  <c r="H15" i="1" s="1"/>
  <c r="F14" i="1"/>
  <c r="E14" i="1"/>
  <c r="G14" i="1" s="1"/>
  <c r="H14" i="1" s="1"/>
  <c r="G13" i="1"/>
  <c r="F13" i="1"/>
  <c r="E13" i="1"/>
  <c r="F12" i="1"/>
  <c r="E12" i="1"/>
  <c r="G12" i="1" s="1"/>
  <c r="H12" i="1" s="1"/>
  <c r="F11" i="1"/>
  <c r="E11" i="1"/>
  <c r="G11" i="1" s="1"/>
  <c r="H11" i="1" s="1"/>
  <c r="G10" i="1"/>
  <c r="F10" i="1"/>
  <c r="E10" i="1"/>
  <c r="F9" i="1"/>
  <c r="E9" i="1"/>
  <c r="G9" i="1" s="1"/>
  <c r="H9" i="1" s="1"/>
  <c r="G8" i="1"/>
  <c r="H8" i="1" s="1"/>
  <c r="F8" i="1"/>
  <c r="E8" i="1"/>
  <c r="G7" i="1"/>
  <c r="H7" i="1" s="1"/>
  <c r="F7" i="1"/>
  <c r="E7" i="1"/>
  <c r="F6" i="1"/>
  <c r="E6" i="1"/>
  <c r="G6" i="1" s="1"/>
  <c r="H6" i="1" s="1"/>
  <c r="F5" i="1"/>
  <c r="E5" i="1"/>
  <c r="G5" i="1" s="1"/>
  <c r="H5" i="1" s="1"/>
  <c r="G4" i="1"/>
  <c r="F4" i="1"/>
  <c r="E4" i="1"/>
  <c r="F3" i="1"/>
  <c r="E3" i="1"/>
  <c r="G3" i="1" s="1"/>
  <c r="H3" i="1" s="1"/>
  <c r="F2" i="1"/>
  <c r="E2" i="1"/>
  <c r="G2" i="1" s="1"/>
  <c r="H2" i="1" s="1"/>
  <c r="H13" i="1" l="1"/>
  <c r="H4" i="1"/>
  <c r="H10" i="1"/>
  <c r="H19" i="1"/>
  <c r="H22" i="1"/>
  <c r="H33" i="1"/>
  <c r="H34" i="1"/>
</calcChain>
</file>

<file path=xl/sharedStrings.xml><?xml version="1.0" encoding="utf-8"?>
<sst xmlns="http://schemas.openxmlformats.org/spreadsheetml/2006/main" count="85" uniqueCount="50">
  <si>
    <t>Product</t>
  </si>
  <si>
    <t>Purchase Orders</t>
  </si>
  <si>
    <t>Suppliers</t>
  </si>
  <si>
    <t>Price</t>
  </si>
  <si>
    <t>Expenditure per piece</t>
  </si>
  <si>
    <t>Revenue</t>
  </si>
  <si>
    <t>Total expenditure</t>
  </si>
  <si>
    <t>Profit</t>
  </si>
  <si>
    <t>Balloons (100 count)</t>
  </si>
  <si>
    <t>Sparklefest Ltd.</t>
  </si>
  <si>
    <t>Banners</t>
  </si>
  <si>
    <t>Inflatibles Plus</t>
  </si>
  <si>
    <t>Bounce house</t>
  </si>
  <si>
    <t>Inflatibles Plos</t>
  </si>
  <si>
    <t>Bowls (25 count)</t>
  </si>
  <si>
    <t>Eco-Disposables</t>
  </si>
  <si>
    <t>Centerpieces</t>
  </si>
  <si>
    <t>Chair covers</t>
  </si>
  <si>
    <t>Supply 4U</t>
  </si>
  <si>
    <t>Chair cushions</t>
  </si>
  <si>
    <t>Chairs</t>
  </si>
  <si>
    <t>Coasters (50 count)</t>
  </si>
  <si>
    <t>Cocktail napkins (100 count)</t>
  </si>
  <si>
    <t>Cocktail plates (40 count)</t>
  </si>
  <si>
    <t>Confetti (65 count)</t>
  </si>
  <si>
    <t>Forks (50 count)</t>
  </si>
  <si>
    <t>Goody bags (10 count)</t>
  </si>
  <si>
    <t>Ice buckets</t>
  </si>
  <si>
    <t>Invitations (20 count)</t>
  </si>
  <si>
    <t>Knives (50 count)</t>
  </si>
  <si>
    <t>Ladles</t>
  </si>
  <si>
    <t>Name tags (20 count)</t>
  </si>
  <si>
    <t>Noisemakers (30 count)</t>
  </si>
  <si>
    <t>Outdoor heaters</t>
  </si>
  <si>
    <t>Party hats (10 count)</t>
  </si>
  <si>
    <t>Piñatas</t>
  </si>
  <si>
    <t>Plates (25 count)</t>
  </si>
  <si>
    <t>Punch bowls</t>
  </si>
  <si>
    <t>Serving platters</t>
  </si>
  <si>
    <t>Serving utensils</t>
  </si>
  <si>
    <t>Spoons (50 count)</t>
  </si>
  <si>
    <t>Streamers</t>
  </si>
  <si>
    <t>Table skirts</t>
  </si>
  <si>
    <t>Tablecloths</t>
  </si>
  <si>
    <t>Tables</t>
  </si>
  <si>
    <t>Tents</t>
  </si>
  <si>
    <t>Toothpicks (500 count)</t>
  </si>
  <si>
    <t>COUNTA of Suppliers</t>
  </si>
  <si>
    <t>(en blanco)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</si>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</sst>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0" fillId="0" borderId="1" xfId="0" pivotButton="1" applyBorder="1"/>
    <xf numFmtId="0" fontId="0" fillId="0" borderId="2" xfId="0" applyBorder="1"/>
    <xf numFmtId="164" fontId="0" fillId="0" borderId="1" xfId="0" applyNumberFormat="1" applyBorder="1"/>
    <xf numFmtId="0" fontId="0" fillId="0" borderId="2" xfId="0" applyNumberFormat="1" applyBorder="1"/>
    <xf numFmtId="164" fontId="0" fillId="0" borderId="3" xfId="0" applyNumberFormat="1" applyBorder="1"/>
    <xf numFmtId="0" fontId="0" fillId="0" borderId="4" xfId="0" applyNumberFormat="1" applyBorder="1"/>
    <xf numFmtId="164" fontId="0" fillId="0" borderId="5" xfId="0" applyNumberFormat="1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honatan Montalvo Adrian" refreshedDate="45989.96100949074" refreshedVersion="8" recordCount="992" xr:uid="{00000000-000A-0000-FFFF-FFFF00000000}">
  <cacheSource type="worksheet">
    <worksheetSource ref="C1:C993" sheet="Sheet1"/>
  </cacheSource>
  <cacheFields count="1">
    <cacheField name="Suppliers" numFmtId="164">
      <sharedItems containsBlank="1" count="6">
        <s v="Sparklefest Ltd."/>
        <s v="Inflatibles Plus"/>
        <s v="Inflatibles Plos"/>
        <s v="Eco-Disposables"/>
        <s v="Supply 4U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</r>
  <r>
    <x v="1"/>
  </r>
  <r>
    <x v="2"/>
  </r>
  <r>
    <x v="3"/>
  </r>
  <r>
    <x v="0"/>
  </r>
  <r>
    <x v="4"/>
  </r>
  <r>
    <x v="4"/>
  </r>
  <r>
    <x v="4"/>
  </r>
  <r>
    <x v="3"/>
  </r>
  <r>
    <x v="3"/>
  </r>
  <r>
    <x v="3"/>
  </r>
  <r>
    <x v="0"/>
  </r>
  <r>
    <x v="3"/>
  </r>
  <r>
    <x v="3"/>
  </r>
  <r>
    <x v="1"/>
  </r>
  <r>
    <x v="0"/>
  </r>
  <r>
    <x v="3"/>
  </r>
  <r>
    <x v="1"/>
  </r>
  <r>
    <x v="0"/>
  </r>
  <r>
    <x v="0"/>
  </r>
  <r>
    <x v="1"/>
  </r>
  <r>
    <x v="0"/>
  </r>
  <r>
    <x v="0"/>
  </r>
  <r>
    <x v="3"/>
  </r>
  <r>
    <x v="1"/>
  </r>
  <r>
    <x v="1"/>
  </r>
  <r>
    <x v="1"/>
  </r>
  <r>
    <x v="3"/>
  </r>
  <r>
    <x v="0"/>
  </r>
  <r>
    <x v="4"/>
  </r>
  <r>
    <x v="4"/>
  </r>
  <r>
    <x v="4"/>
  </r>
  <r>
    <x v="1"/>
  </r>
  <r>
    <x v="3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3" cacheId="4" applyNumberFormats="0" applyBorderFormats="0" applyFontFormats="0" applyPatternFormats="0" applyAlignmentFormats="0" applyWidthHeightFormats="0" dataCaption="" updatedVersion="8" compact="0" compactData="0">
  <location ref="A1:B8" firstHeaderRow="1" firstDataRow="1" firstDataCol="1"/>
  <pivotFields count="1">
    <pivotField name="Suppliers" axis="axisRow" dataField="1" compact="0" numFmtId="164" outline="0" multipleItemSelectionAllowed="1" showAll="0" sortType="ascending">
      <items count="7">
        <item x="3"/>
        <item x="2"/>
        <item x="1"/>
        <item x="0"/>
        <item x="4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A of Suppliers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93"/>
  <sheetViews>
    <sheetView tabSelected="1" workbookViewId="0">
      <selection activeCell="J10" sqref="J10"/>
    </sheetView>
  </sheetViews>
  <sheetFormatPr baseColWidth="10" defaultColWidth="14.44140625" defaultRowHeight="15.75" customHeight="1" x14ac:dyDescent="0.25"/>
  <cols>
    <col min="1" max="1" width="24.33203125" bestFit="1" customWidth="1"/>
    <col min="2" max="2" width="15.88671875" bestFit="1" customWidth="1"/>
    <col min="3" max="3" width="14.6640625" bestFit="1" customWidth="1"/>
    <col min="4" max="4" width="7.5546875" bestFit="1" customWidth="1"/>
    <col min="5" max="5" width="20.21875" bestFit="1" customWidth="1"/>
    <col min="6" max="6" width="11.109375" bestFit="1" customWidth="1"/>
    <col min="7" max="7" width="16.33203125" bestFit="1" customWidth="1"/>
    <col min="8" max="8" width="10.109375" bestFit="1" customWidth="1"/>
  </cols>
  <sheetData>
    <row r="1" spans="1:22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3" t="s">
        <v>8</v>
      </c>
      <c r="B2" s="3">
        <v>776</v>
      </c>
      <c r="C2" s="4" t="s">
        <v>9</v>
      </c>
      <c r="D2" s="4">
        <v>16.940000000000001</v>
      </c>
      <c r="E2" s="4">
        <f>D2*70%</f>
        <v>11.858000000000001</v>
      </c>
      <c r="F2" s="4">
        <f>B2*D2</f>
        <v>13145.44</v>
      </c>
      <c r="G2" s="4">
        <f>E2*B2</f>
        <v>9201.8080000000009</v>
      </c>
      <c r="H2" s="4">
        <f>F2-G2</f>
        <v>3943.6319999999996</v>
      </c>
    </row>
    <row r="3" spans="1:22" x14ac:dyDescent="0.25">
      <c r="A3" s="3" t="s">
        <v>10</v>
      </c>
      <c r="B3" s="3">
        <v>236</v>
      </c>
      <c r="C3" s="4" t="s">
        <v>11</v>
      </c>
      <c r="D3" s="4">
        <v>3.7</v>
      </c>
      <c r="E3" s="4">
        <f>D3*70%</f>
        <v>2.59</v>
      </c>
      <c r="F3" s="4">
        <f>B3*D3</f>
        <v>873.2</v>
      </c>
      <c r="G3" s="4">
        <f>E3*B3</f>
        <v>611.24</v>
      </c>
      <c r="H3" s="4">
        <f>F3-G3</f>
        <v>261.96000000000004</v>
      </c>
    </row>
    <row r="4" spans="1:22" x14ac:dyDescent="0.25">
      <c r="A4" s="3" t="s">
        <v>12</v>
      </c>
      <c r="B4" s="3">
        <v>24</v>
      </c>
      <c r="C4" s="4" t="s">
        <v>13</v>
      </c>
      <c r="D4" s="4">
        <v>396.34</v>
      </c>
      <c r="E4" s="4">
        <f>D4*70%</f>
        <v>277.43799999999999</v>
      </c>
      <c r="F4" s="4">
        <f>B4*D4</f>
        <v>9512.16</v>
      </c>
      <c r="G4" s="4">
        <f>E4*B4</f>
        <v>6658.5119999999997</v>
      </c>
      <c r="H4" s="4">
        <f>F4-G4</f>
        <v>2853.6480000000001</v>
      </c>
    </row>
    <row r="5" spans="1:22" x14ac:dyDescent="0.25">
      <c r="A5" s="3" t="s">
        <v>14</v>
      </c>
      <c r="B5" s="3">
        <v>861</v>
      </c>
      <c r="C5" s="4" t="s">
        <v>15</v>
      </c>
      <c r="D5" s="4">
        <v>2.27</v>
      </c>
      <c r="E5" s="4">
        <f>D5*70%</f>
        <v>1.589</v>
      </c>
      <c r="F5" s="4">
        <f>B5*D5</f>
        <v>1954.47</v>
      </c>
      <c r="G5" s="4">
        <f>E5*B5</f>
        <v>1368.1289999999999</v>
      </c>
      <c r="H5" s="4">
        <f>F5-G5</f>
        <v>586.34100000000012</v>
      </c>
    </row>
    <row r="6" spans="1:22" x14ac:dyDescent="0.25">
      <c r="A6" s="3" t="s">
        <v>16</v>
      </c>
      <c r="B6" s="3">
        <v>591</v>
      </c>
      <c r="C6" s="4" t="s">
        <v>9</v>
      </c>
      <c r="D6" s="4">
        <v>8.26</v>
      </c>
      <c r="E6" s="4">
        <f>D6*70%</f>
        <v>5.7819999999999991</v>
      </c>
      <c r="F6" s="4">
        <f>B6*D6</f>
        <v>4881.66</v>
      </c>
      <c r="G6" s="4">
        <f>E6*B6</f>
        <v>3417.1619999999994</v>
      </c>
      <c r="H6" s="4">
        <f>F6-G6</f>
        <v>1464.4980000000005</v>
      </c>
    </row>
    <row r="7" spans="1:22" x14ac:dyDescent="0.25">
      <c r="A7" s="3" t="s">
        <v>17</v>
      </c>
      <c r="B7" s="3">
        <v>830</v>
      </c>
      <c r="C7" s="4" t="s">
        <v>18</v>
      </c>
      <c r="D7" s="4">
        <v>9.3699999999999992</v>
      </c>
      <c r="E7" s="4">
        <f>D7*70%</f>
        <v>6.5589999999999993</v>
      </c>
      <c r="F7" s="4">
        <f>B7*D7</f>
        <v>7777.0999999999995</v>
      </c>
      <c r="G7" s="4">
        <f>E7*B7</f>
        <v>5443.9699999999993</v>
      </c>
      <c r="H7" s="4">
        <f>F7-G7</f>
        <v>2333.13</v>
      </c>
    </row>
    <row r="8" spans="1:22" x14ac:dyDescent="0.25">
      <c r="A8" s="3" t="s">
        <v>19</v>
      </c>
      <c r="B8" s="3">
        <v>745</v>
      </c>
      <c r="C8" s="4" t="s">
        <v>18</v>
      </c>
      <c r="D8" s="4">
        <v>13.82</v>
      </c>
      <c r="E8" s="4">
        <f>D8*70%</f>
        <v>9.6739999999999995</v>
      </c>
      <c r="F8" s="4">
        <f>B8*D8</f>
        <v>10295.9</v>
      </c>
      <c r="G8" s="4">
        <f>E8*B8</f>
        <v>7207.1299999999992</v>
      </c>
      <c r="H8" s="4">
        <f>F8-G8</f>
        <v>3088.7700000000004</v>
      </c>
    </row>
    <row r="9" spans="1:22" x14ac:dyDescent="0.25">
      <c r="A9" s="3" t="s">
        <v>20</v>
      </c>
      <c r="B9" s="3">
        <v>111</v>
      </c>
      <c r="C9" s="4" t="s">
        <v>18</v>
      </c>
      <c r="D9" s="4">
        <v>10.95</v>
      </c>
      <c r="E9" s="4">
        <f>D9*70%</f>
        <v>7.6649999999999991</v>
      </c>
      <c r="F9" s="4">
        <f>B9*D9</f>
        <v>1215.4499999999998</v>
      </c>
      <c r="G9" s="4">
        <f>E9*B9</f>
        <v>850.81499999999994</v>
      </c>
      <c r="H9" s="4">
        <f>F9-G9</f>
        <v>364.63499999999988</v>
      </c>
    </row>
    <row r="10" spans="1:22" x14ac:dyDescent="0.25">
      <c r="A10" s="3" t="s">
        <v>21</v>
      </c>
      <c r="B10" s="3">
        <v>701</v>
      </c>
      <c r="C10" s="4" t="s">
        <v>15</v>
      </c>
      <c r="D10" s="4">
        <v>3.01</v>
      </c>
      <c r="E10" s="4">
        <f>D10*70%</f>
        <v>2.1069999999999998</v>
      </c>
      <c r="F10" s="4">
        <f>B10*D10</f>
        <v>2110.0099999999998</v>
      </c>
      <c r="G10" s="4">
        <f>E10*B10</f>
        <v>1477.0069999999998</v>
      </c>
      <c r="H10" s="4">
        <f>F10-G10</f>
        <v>633.00299999999993</v>
      </c>
    </row>
    <row r="11" spans="1:22" x14ac:dyDescent="0.25">
      <c r="A11" s="3" t="s">
        <v>22</v>
      </c>
      <c r="B11" s="3">
        <v>985</v>
      </c>
      <c r="C11" s="4" t="s">
        <v>15</v>
      </c>
      <c r="D11" s="4">
        <v>5.94</v>
      </c>
      <c r="E11" s="4">
        <f>D11*70%</f>
        <v>4.1580000000000004</v>
      </c>
      <c r="F11" s="4">
        <f>B11*D11</f>
        <v>5850.9000000000005</v>
      </c>
      <c r="G11" s="4">
        <f>E11*B11</f>
        <v>4095.6300000000006</v>
      </c>
      <c r="H11" s="4">
        <f>F11-G11</f>
        <v>1755.27</v>
      </c>
    </row>
    <row r="12" spans="1:22" x14ac:dyDescent="0.25">
      <c r="A12" s="3" t="s">
        <v>23</v>
      </c>
      <c r="B12" s="3">
        <v>928</v>
      </c>
      <c r="C12" s="4" t="s">
        <v>15</v>
      </c>
      <c r="D12" s="4">
        <v>6.05</v>
      </c>
      <c r="E12" s="4">
        <f>D12*70%</f>
        <v>4.2349999999999994</v>
      </c>
      <c r="F12" s="4">
        <f>B12*D12</f>
        <v>5614.4</v>
      </c>
      <c r="G12" s="4">
        <f>E12*B12</f>
        <v>3930.0799999999995</v>
      </c>
      <c r="H12" s="4">
        <f>F12-G12</f>
        <v>1684.3200000000002</v>
      </c>
    </row>
    <row r="13" spans="1:22" x14ac:dyDescent="0.25">
      <c r="A13" s="3" t="s">
        <v>24</v>
      </c>
      <c r="B13" s="3">
        <v>603</v>
      </c>
      <c r="C13" s="4" t="s">
        <v>9</v>
      </c>
      <c r="D13" s="4">
        <v>0.94</v>
      </c>
      <c r="E13" s="4">
        <f>D13*70%</f>
        <v>0.65799999999999992</v>
      </c>
      <c r="F13" s="4">
        <f>B13*D13</f>
        <v>566.81999999999994</v>
      </c>
      <c r="G13" s="4">
        <f>E13*B13</f>
        <v>396.77399999999994</v>
      </c>
      <c r="H13" s="4">
        <f>F13-G13</f>
        <v>170.04599999999999</v>
      </c>
    </row>
    <row r="14" spans="1:22" x14ac:dyDescent="0.25">
      <c r="A14" s="3" t="s">
        <v>25</v>
      </c>
      <c r="B14" s="3">
        <v>1065</v>
      </c>
      <c r="C14" s="4" t="s">
        <v>15</v>
      </c>
      <c r="D14" s="4">
        <v>2.4900000000000002</v>
      </c>
      <c r="E14" s="4">
        <f>D14*70%</f>
        <v>1.7430000000000001</v>
      </c>
      <c r="F14" s="4">
        <f>B14*D14</f>
        <v>2651.8500000000004</v>
      </c>
      <c r="G14" s="4">
        <f>E14*B14</f>
        <v>1856.2950000000001</v>
      </c>
      <c r="H14" s="4">
        <f>F14-G14</f>
        <v>795.55500000000029</v>
      </c>
    </row>
    <row r="15" spans="1:22" x14ac:dyDescent="0.25">
      <c r="A15" s="3" t="s">
        <v>26</v>
      </c>
      <c r="B15" s="3">
        <v>870</v>
      </c>
      <c r="C15" s="4" t="s">
        <v>15</v>
      </c>
      <c r="D15" s="4">
        <v>0.82</v>
      </c>
      <c r="E15" s="4">
        <f>D15*70%</f>
        <v>0.57399999999999995</v>
      </c>
      <c r="F15" s="4">
        <f>B15*D15</f>
        <v>713.4</v>
      </c>
      <c r="G15" s="4">
        <f>E15*B15</f>
        <v>499.37999999999994</v>
      </c>
      <c r="H15" s="4">
        <f>F15-G15</f>
        <v>214.02000000000004</v>
      </c>
    </row>
    <row r="16" spans="1:22" x14ac:dyDescent="0.25">
      <c r="A16" s="3" t="s">
        <v>27</v>
      </c>
      <c r="B16" s="3">
        <v>157</v>
      </c>
      <c r="C16" s="4" t="s">
        <v>11</v>
      </c>
      <c r="D16" s="4">
        <v>6.88</v>
      </c>
      <c r="E16" s="4">
        <f>D16*70%</f>
        <v>4.8159999999999998</v>
      </c>
      <c r="F16" s="4">
        <f>B16*D16</f>
        <v>1080.1600000000001</v>
      </c>
      <c r="G16" s="4">
        <f>E16*B16</f>
        <v>756.11199999999997</v>
      </c>
      <c r="H16" s="4">
        <f>F16-G16</f>
        <v>324.04800000000012</v>
      </c>
    </row>
    <row r="17" spans="1:8" x14ac:dyDescent="0.25">
      <c r="A17" s="3" t="s">
        <v>28</v>
      </c>
      <c r="B17" s="3">
        <v>1209</v>
      </c>
      <c r="C17" s="4" t="s">
        <v>9</v>
      </c>
      <c r="D17" s="4">
        <v>7.29</v>
      </c>
      <c r="E17" s="4">
        <f>D17*70%</f>
        <v>5.1029999999999998</v>
      </c>
      <c r="F17" s="4">
        <f>B17*D17</f>
        <v>8813.61</v>
      </c>
      <c r="G17" s="4">
        <f>E17*B17</f>
        <v>6169.527</v>
      </c>
      <c r="H17" s="4">
        <f>F17-G17</f>
        <v>2644.0830000000005</v>
      </c>
    </row>
    <row r="18" spans="1:8" x14ac:dyDescent="0.25">
      <c r="A18" s="3" t="s">
        <v>29</v>
      </c>
      <c r="B18" s="3">
        <v>1015</v>
      </c>
      <c r="C18" s="4" t="s">
        <v>15</v>
      </c>
      <c r="D18" s="4">
        <v>2.4900000000000002</v>
      </c>
      <c r="E18" s="4">
        <f>D18*70%</f>
        <v>1.7430000000000001</v>
      </c>
      <c r="F18" s="4">
        <f>B18*D18</f>
        <v>2527.3500000000004</v>
      </c>
      <c r="G18" s="4">
        <f>E18*B18</f>
        <v>1769.1450000000002</v>
      </c>
      <c r="H18" s="4">
        <f>F18-G18</f>
        <v>758.20500000000015</v>
      </c>
    </row>
    <row r="19" spans="1:8" x14ac:dyDescent="0.25">
      <c r="A19" s="3" t="s">
        <v>30</v>
      </c>
      <c r="B19" s="3">
        <v>421</v>
      </c>
      <c r="C19" s="4" t="s">
        <v>11</v>
      </c>
      <c r="D19" s="4">
        <v>2.29</v>
      </c>
      <c r="E19" s="4">
        <f>D19*70%</f>
        <v>1.603</v>
      </c>
      <c r="F19" s="4">
        <f>B19*D19</f>
        <v>964.09</v>
      </c>
      <c r="G19" s="4">
        <f>E19*B19</f>
        <v>674.86299999999994</v>
      </c>
      <c r="H19" s="4">
        <f>F19-G19</f>
        <v>289.22700000000009</v>
      </c>
    </row>
    <row r="20" spans="1:8" x14ac:dyDescent="0.25">
      <c r="A20" s="3" t="s">
        <v>31</v>
      </c>
      <c r="B20" s="3">
        <v>281</v>
      </c>
      <c r="C20" s="4" t="s">
        <v>9</v>
      </c>
      <c r="D20" s="4">
        <v>1.19</v>
      </c>
      <c r="E20" s="4">
        <f>D20*70%</f>
        <v>0.83299999999999996</v>
      </c>
      <c r="F20" s="4">
        <f>B20*D20</f>
        <v>334.39</v>
      </c>
      <c r="G20" s="4">
        <f>E20*B20</f>
        <v>234.07299999999998</v>
      </c>
      <c r="H20" s="4">
        <f>F20-G20</f>
        <v>100.31700000000001</v>
      </c>
    </row>
    <row r="21" spans="1:8" x14ac:dyDescent="0.25">
      <c r="A21" s="3" t="s">
        <v>32</v>
      </c>
      <c r="B21" s="3">
        <v>741</v>
      </c>
      <c r="C21" s="4" t="s">
        <v>9</v>
      </c>
      <c r="D21" s="4">
        <v>4.2699999999999996</v>
      </c>
      <c r="E21" s="4">
        <f>D21*70%</f>
        <v>2.9889999999999994</v>
      </c>
      <c r="F21" s="4">
        <f>B21*D21</f>
        <v>3164.0699999999997</v>
      </c>
      <c r="G21" s="4">
        <f>E21*B21</f>
        <v>2214.8489999999997</v>
      </c>
      <c r="H21" s="4">
        <f>F21-G21</f>
        <v>949.221</v>
      </c>
    </row>
    <row r="22" spans="1:8" x14ac:dyDescent="0.25">
      <c r="A22" s="3" t="s">
        <v>33</v>
      </c>
      <c r="B22" s="3">
        <v>125</v>
      </c>
      <c r="C22" s="4" t="s">
        <v>11</v>
      </c>
      <c r="D22" s="4">
        <v>105.28</v>
      </c>
      <c r="E22" s="4">
        <f>D22*70%</f>
        <v>73.695999999999998</v>
      </c>
      <c r="F22" s="4">
        <f>B22*D22</f>
        <v>13160</v>
      </c>
      <c r="G22" s="4">
        <f>E22*B22</f>
        <v>9212</v>
      </c>
      <c r="H22" s="4">
        <f>F22-G22</f>
        <v>3948</v>
      </c>
    </row>
    <row r="23" spans="1:8" x14ac:dyDescent="0.25">
      <c r="A23" s="3" t="s">
        <v>34</v>
      </c>
      <c r="B23" s="3">
        <v>808</v>
      </c>
      <c r="C23" s="4" t="s">
        <v>9</v>
      </c>
      <c r="D23" s="4">
        <v>3.92</v>
      </c>
      <c r="E23" s="4">
        <f>D23*70%</f>
        <v>2.7439999999999998</v>
      </c>
      <c r="F23" s="4">
        <f>B23*D23</f>
        <v>3167.36</v>
      </c>
      <c r="G23" s="4">
        <f>E23*B23</f>
        <v>2217.152</v>
      </c>
      <c r="H23" s="4">
        <f>F23-G23</f>
        <v>950.20800000000008</v>
      </c>
    </row>
    <row r="24" spans="1:8" x14ac:dyDescent="0.25">
      <c r="A24" s="3" t="s">
        <v>35</v>
      </c>
      <c r="B24" s="3">
        <v>867</v>
      </c>
      <c r="C24" s="4" t="s">
        <v>9</v>
      </c>
      <c r="D24" s="4">
        <v>29.16</v>
      </c>
      <c r="E24" s="4">
        <f>D24*70%</f>
        <v>20.411999999999999</v>
      </c>
      <c r="F24" s="4">
        <f>B24*D24</f>
        <v>25281.72</v>
      </c>
      <c r="G24" s="4">
        <f>E24*B24</f>
        <v>17697.203999999998</v>
      </c>
      <c r="H24" s="4">
        <f>F24-G24</f>
        <v>7584.5160000000033</v>
      </c>
    </row>
    <row r="25" spans="1:8" x14ac:dyDescent="0.25">
      <c r="A25" s="3" t="s">
        <v>36</v>
      </c>
      <c r="B25" s="3">
        <v>439</v>
      </c>
      <c r="C25" s="4" t="s">
        <v>15</v>
      </c>
      <c r="D25" s="4">
        <v>2.0299999999999998</v>
      </c>
      <c r="E25" s="4">
        <f>D25*70%</f>
        <v>1.4209999999999998</v>
      </c>
      <c r="F25" s="4">
        <f>B25*D25</f>
        <v>891.17</v>
      </c>
      <c r="G25" s="4">
        <f>E25*B25</f>
        <v>623.81899999999996</v>
      </c>
      <c r="H25" s="4">
        <f>F25-G25</f>
        <v>267.351</v>
      </c>
    </row>
    <row r="26" spans="1:8" x14ac:dyDescent="0.25">
      <c r="A26" s="3" t="s">
        <v>37</v>
      </c>
      <c r="B26" s="3">
        <v>292</v>
      </c>
      <c r="C26" s="4" t="s">
        <v>11</v>
      </c>
      <c r="D26" s="4">
        <v>18.55</v>
      </c>
      <c r="E26" s="4">
        <f>D26*70%</f>
        <v>12.984999999999999</v>
      </c>
      <c r="F26" s="4">
        <f>B26*D26</f>
        <v>5416.6</v>
      </c>
      <c r="G26" s="4">
        <f>E26*B26</f>
        <v>3791.62</v>
      </c>
      <c r="H26" s="4">
        <f>F26-G26</f>
        <v>1624.9800000000005</v>
      </c>
    </row>
    <row r="27" spans="1:8" x14ac:dyDescent="0.25">
      <c r="A27" s="3" t="s">
        <v>38</v>
      </c>
      <c r="B27" s="3">
        <v>864</v>
      </c>
      <c r="C27" s="4" t="s">
        <v>11</v>
      </c>
      <c r="D27" s="4">
        <v>5</v>
      </c>
      <c r="E27" s="4">
        <f>D27*70%</f>
        <v>3.5</v>
      </c>
      <c r="F27" s="4">
        <f>B27*D27</f>
        <v>4320</v>
      </c>
      <c r="G27" s="4">
        <f>E27*B27</f>
        <v>3024</v>
      </c>
      <c r="H27" s="4">
        <f>F27-G27</f>
        <v>1296</v>
      </c>
    </row>
    <row r="28" spans="1:8" x14ac:dyDescent="0.25">
      <c r="A28" s="3" t="s">
        <v>39</v>
      </c>
      <c r="B28" s="3">
        <v>127</v>
      </c>
      <c r="C28" s="4" t="s">
        <v>11</v>
      </c>
      <c r="D28" s="4">
        <v>3.09</v>
      </c>
      <c r="E28" s="4">
        <f>D28*70%</f>
        <v>2.1629999999999998</v>
      </c>
      <c r="F28" s="4">
        <f>B28*D28</f>
        <v>392.43</v>
      </c>
      <c r="G28" s="4">
        <f>E28*B28</f>
        <v>274.70099999999996</v>
      </c>
      <c r="H28" s="4">
        <f>F28-G28</f>
        <v>117.72900000000004</v>
      </c>
    </row>
    <row r="29" spans="1:8" x14ac:dyDescent="0.25">
      <c r="A29" s="3" t="s">
        <v>40</v>
      </c>
      <c r="B29" s="3">
        <v>927</v>
      </c>
      <c r="C29" s="4" t="s">
        <v>15</v>
      </c>
      <c r="D29" s="4">
        <v>2.4900000000000002</v>
      </c>
      <c r="E29" s="4">
        <f>D29*70%</f>
        <v>1.7430000000000001</v>
      </c>
      <c r="F29" s="4">
        <f>B29*D29</f>
        <v>2308.23</v>
      </c>
      <c r="G29" s="4">
        <f>E29*B29</f>
        <v>1615.7610000000002</v>
      </c>
      <c r="H29" s="4">
        <f>F29-G29</f>
        <v>692.46899999999982</v>
      </c>
    </row>
    <row r="30" spans="1:8" x14ac:dyDescent="0.25">
      <c r="A30" s="3" t="s">
        <v>41</v>
      </c>
      <c r="B30" s="3">
        <v>566</v>
      </c>
      <c r="C30" s="4" t="s">
        <v>9</v>
      </c>
      <c r="D30" s="4">
        <v>2.67</v>
      </c>
      <c r="E30" s="4">
        <f>D30*70%</f>
        <v>1.8689999999999998</v>
      </c>
      <c r="F30" s="4">
        <f>B30*D30</f>
        <v>1511.22</v>
      </c>
      <c r="G30" s="4">
        <f>E30*B30</f>
        <v>1057.8539999999998</v>
      </c>
      <c r="H30" s="4">
        <f>F30-G30</f>
        <v>453.36600000000021</v>
      </c>
    </row>
    <row r="31" spans="1:8" x14ac:dyDescent="0.25">
      <c r="A31" s="3" t="s">
        <v>42</v>
      </c>
      <c r="B31" s="3">
        <v>1289</v>
      </c>
      <c r="C31" s="4" t="s">
        <v>18</v>
      </c>
      <c r="D31" s="4">
        <v>8.5</v>
      </c>
      <c r="E31" s="4">
        <f>D31*70%</f>
        <v>5.9499999999999993</v>
      </c>
      <c r="F31" s="4">
        <f>B31*D31</f>
        <v>10956.5</v>
      </c>
      <c r="G31" s="4">
        <f>E31*B31</f>
        <v>7669.5499999999993</v>
      </c>
      <c r="H31" s="4">
        <f>F31-G31</f>
        <v>3286.9500000000007</v>
      </c>
    </row>
    <row r="32" spans="1:8" x14ac:dyDescent="0.25">
      <c r="A32" s="3" t="s">
        <v>43</v>
      </c>
      <c r="B32" s="3">
        <v>328</v>
      </c>
      <c r="C32" s="4" t="s">
        <v>18</v>
      </c>
      <c r="D32" s="4">
        <v>9.19</v>
      </c>
      <c r="E32" s="4">
        <f>D32*70%</f>
        <v>6.4329999999999989</v>
      </c>
      <c r="F32" s="4">
        <f>B32*D32</f>
        <v>3014.3199999999997</v>
      </c>
      <c r="G32" s="4">
        <f>E32*B32</f>
        <v>2110.0239999999994</v>
      </c>
      <c r="H32" s="4">
        <f>F32-G32</f>
        <v>904.29600000000028</v>
      </c>
    </row>
    <row r="33" spans="1:8" x14ac:dyDescent="0.25">
      <c r="A33" s="3" t="s">
        <v>44</v>
      </c>
      <c r="B33" s="3">
        <v>150</v>
      </c>
      <c r="C33" s="4" t="s">
        <v>18</v>
      </c>
      <c r="D33" s="4">
        <v>36.200000000000003</v>
      </c>
      <c r="E33" s="4">
        <f>D33*70%</f>
        <v>25.34</v>
      </c>
      <c r="F33" s="4">
        <f>B33*D33</f>
        <v>5430</v>
      </c>
      <c r="G33" s="4">
        <f>E33*B33</f>
        <v>3801</v>
      </c>
      <c r="H33" s="4">
        <f>F33-G33</f>
        <v>1629</v>
      </c>
    </row>
    <row r="34" spans="1:8" x14ac:dyDescent="0.25">
      <c r="A34" s="3" t="s">
        <v>45</v>
      </c>
      <c r="B34" s="3">
        <v>535</v>
      </c>
      <c r="C34" s="4" t="s">
        <v>11</v>
      </c>
      <c r="D34" s="4">
        <v>209.07</v>
      </c>
      <c r="E34" s="4">
        <f>D34*70%</f>
        <v>146.34899999999999</v>
      </c>
      <c r="F34" s="4">
        <f>B34*D34</f>
        <v>111852.45</v>
      </c>
      <c r="G34" s="4">
        <f>E34*B34</f>
        <v>78296.714999999997</v>
      </c>
      <c r="H34" s="4">
        <f>F34-G34</f>
        <v>33555.735000000001</v>
      </c>
    </row>
    <row r="35" spans="1:8" x14ac:dyDescent="0.25">
      <c r="A35" s="3" t="s">
        <v>46</v>
      </c>
      <c r="B35" s="3">
        <v>1386</v>
      </c>
      <c r="C35" s="4" t="s">
        <v>15</v>
      </c>
      <c r="D35" s="4">
        <v>1.59</v>
      </c>
      <c r="E35" s="4">
        <f>D35*70%</f>
        <v>1.113</v>
      </c>
      <c r="F35" s="4">
        <f>B35*D35</f>
        <v>2203.7400000000002</v>
      </c>
      <c r="G35" s="4">
        <f>E35*B35</f>
        <v>1542.6179999999999</v>
      </c>
      <c r="H35" s="4">
        <f>F35-G35</f>
        <v>661.1220000000003</v>
      </c>
    </row>
    <row r="36" spans="1:8" x14ac:dyDescent="0.25">
      <c r="C36" s="4"/>
      <c r="D36" s="4"/>
    </row>
    <row r="37" spans="1:8" x14ac:dyDescent="0.25"/>
    <row r="38" spans="1:8" x14ac:dyDescent="0.25"/>
    <row r="39" spans="1:8" x14ac:dyDescent="0.25"/>
    <row r="40" spans="1:8" x14ac:dyDescent="0.25"/>
    <row r="41" spans="1:8" x14ac:dyDescent="0.25"/>
    <row r="42" spans="1:8" x14ac:dyDescent="0.25"/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8"/>
  <sheetViews>
    <sheetView showGridLines="0" workbookViewId="0"/>
  </sheetViews>
  <sheetFormatPr baseColWidth="10" defaultColWidth="14.44140625" defaultRowHeight="15.75" customHeight="1" x14ac:dyDescent="0.25"/>
  <sheetData>
    <row r="1" spans="1:2" x14ac:dyDescent="0.25">
      <c r="A1" s="5" t="s">
        <v>2</v>
      </c>
      <c r="B1" s="6" t="s">
        <v>47</v>
      </c>
    </row>
    <row r="2" spans="1:2" x14ac:dyDescent="0.25">
      <c r="A2" s="7" t="s">
        <v>15</v>
      </c>
      <c r="B2" s="8">
        <v>10</v>
      </c>
    </row>
    <row r="3" spans="1:2" x14ac:dyDescent="0.25">
      <c r="A3" s="9" t="s">
        <v>13</v>
      </c>
      <c r="B3" s="10">
        <v>1</v>
      </c>
    </row>
    <row r="4" spans="1:2" x14ac:dyDescent="0.25">
      <c r="A4" s="9" t="s">
        <v>11</v>
      </c>
      <c r="B4" s="10">
        <v>8</v>
      </c>
    </row>
    <row r="5" spans="1:2" x14ac:dyDescent="0.25">
      <c r="A5" s="9" t="s">
        <v>9</v>
      </c>
      <c r="B5" s="10">
        <v>9</v>
      </c>
    </row>
    <row r="6" spans="1:2" x14ac:dyDescent="0.25">
      <c r="A6" s="9" t="s">
        <v>18</v>
      </c>
      <c r="B6" s="10">
        <v>6</v>
      </c>
    </row>
    <row r="7" spans="1:2" x14ac:dyDescent="0.25">
      <c r="A7" s="9" t="s">
        <v>48</v>
      </c>
      <c r="B7" s="10"/>
    </row>
    <row r="8" spans="1:2" x14ac:dyDescent="0.25">
      <c r="A8" s="11" t="s">
        <v>49</v>
      </c>
      <c r="B8" s="1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Jhonatan Montalvo Adrian</cp:lastModifiedBy>
  <dcterms:modified xsi:type="dcterms:W3CDTF">2025-11-29T05:04:37Z</dcterms:modified>
</cp:coreProperties>
</file>